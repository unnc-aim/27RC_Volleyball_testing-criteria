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分汇总" sheetId="1" state="visible" r:id="rId1"/>
    <sheet xmlns:r="http://schemas.openxmlformats.org/officeDocument/2006/relationships" name="否决项检查" sheetId="2" state="visible" r:id="rId2"/>
    <sheet xmlns:r="http://schemas.openxmlformats.org/officeDocument/2006/relationships" name="测试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2" customWidth="1" min="5" max="5"/>
    <col width="17" customWidth="1" min="6" max="6"/>
    <col width="10" customWidth="1" min="7" max="7"/>
    <col width="9" customWidth="1" min="8" max="8"/>
    <col width="22" customWidth="1" min="9" max="9"/>
  </cols>
  <sheetData>
    <row r="1">
      <c r="A1" s="1" t="inlineStr">
        <is>
          <t>27RC 排球机器人视觉系统测试打分表（27RC-VBT-001）</t>
        </is>
      </c>
    </row>
    <row r="2" ht="28" customHeight="1">
      <c r="A2" s="2" t="inlineStr">
        <is>
          <t>编号即优先级（C 类 T01–T04 → B 类 T05–T09 → A 类 T10–T19，权重 C 45 / B 20 / A 35）；单项得分只填 100 / 80 / 60 / 0 或 N/A；B 类（T05–T09）可填 N/A（自动剔除权重并归一化），C 类与 A 类不允许 N/A；打分依据见 docs/test-procedures.md。</t>
        </is>
      </c>
    </row>
    <row r="3">
      <c r="A3" s="3" t="inlineStr">
        <is>
          <t>编号</t>
        </is>
      </c>
      <c r="B3" s="3" t="inlineStr">
        <is>
          <t>测试项目</t>
        </is>
      </c>
      <c r="C3" s="3" t="inlineStr">
        <is>
          <t>类别</t>
        </is>
      </c>
      <c r="D3" s="3" t="inlineStr">
        <is>
          <t>权重 w</t>
        </is>
      </c>
      <c r="E3" s="3" t="inlineStr">
        <is>
          <t>单项得分 s</t>
        </is>
      </c>
      <c r="F3" s="3" t="inlineStr">
        <is>
          <t>加权得分 w×s/100</t>
        </is>
      </c>
      <c r="G3" s="3" t="inlineStr">
        <is>
          <t>计分权重</t>
        </is>
      </c>
      <c r="H3" s="3" t="inlineStr">
        <is>
          <t>档位</t>
        </is>
      </c>
      <c r="I3" s="3" t="inlineStr">
        <is>
          <t>备注</t>
        </is>
      </c>
    </row>
    <row r="4">
      <c r="A4" s="4" t="inlineStr">
        <is>
          <t>T01</t>
        </is>
      </c>
      <c r="B4" s="5" t="inlineStr">
        <is>
          <t>排球检测模型精度</t>
        </is>
      </c>
      <c r="C4" s="4" t="inlineStr">
        <is>
          <t>C</t>
        </is>
      </c>
      <c r="D4" s="4" t="n">
        <v>13</v>
      </c>
      <c r="E4" s="6" t="n"/>
      <c r="F4" s="4">
        <f>IF(ISNUMBER(E4),D4*E4/100,0)</f>
        <v/>
      </c>
      <c r="G4" s="4">
        <f>IF(ISNUMBER(E4),D4,0)</f>
        <v/>
      </c>
      <c r="H4" s="4">
        <f>IF(NOT(ISNUMBER(E4)),"N/A",IF(E4&gt;=100,"优",IF(E4&gt;=80,"良",IF(E4&gt;=60,"合格","不合格"))))</f>
        <v/>
      </c>
      <c r="I4" s="5" t="n"/>
    </row>
    <row r="5">
      <c r="A5" s="4" t="inlineStr">
        <is>
          <t>T02</t>
        </is>
      </c>
      <c r="B5" s="5" t="inlineStr">
        <is>
          <t>检测推理速度</t>
        </is>
      </c>
      <c r="C5" s="4" t="inlineStr">
        <is>
          <t>C</t>
        </is>
      </c>
      <c r="D5" s="4" t="n">
        <v>9</v>
      </c>
      <c r="E5" s="6" t="n"/>
      <c r="F5" s="4">
        <f>IF(ISNUMBER(E5),D5*E5/100,0)</f>
        <v/>
      </c>
      <c r="G5" s="4">
        <f>IF(ISNUMBER(E5),D5,0)</f>
        <v/>
      </c>
      <c r="H5" s="4">
        <f>IF(NOT(ISNUMBER(E5)),"N/A",IF(E5&gt;=100,"优",IF(E5&gt;=80,"良",IF(E5&gt;=60,"合格","不合格"))))</f>
        <v/>
      </c>
      <c r="I5" s="5" t="n"/>
    </row>
    <row r="6">
      <c r="A6" s="4" t="inlineStr">
        <is>
          <t>T03</t>
        </is>
      </c>
      <c r="B6" s="5" t="inlineStr">
        <is>
          <t>动态球测距</t>
        </is>
      </c>
      <c r="C6" s="4" t="inlineStr">
        <is>
          <t>C</t>
        </is>
      </c>
      <c r="D6" s="4" t="n">
        <v>11</v>
      </c>
      <c r="E6" s="6" t="n"/>
      <c r="F6" s="4">
        <f>IF(ISNUMBER(E6),D6*E6/100,0)</f>
        <v/>
      </c>
      <c r="G6" s="4">
        <f>IF(ISNUMBER(E6),D6,0)</f>
        <v/>
      </c>
      <c r="H6" s="4">
        <f>IF(NOT(ISNUMBER(E6)),"N/A",IF(E6&gt;=100,"优",IF(E6&gt;=80,"良",IF(E6&gt;=60,"合格","不合格"))))</f>
        <v/>
      </c>
      <c r="I6" s="5" t="n"/>
    </row>
    <row r="7">
      <c r="A7" s="4" t="inlineStr">
        <is>
          <t>T04</t>
        </is>
      </c>
      <c r="B7" s="5" t="inlineStr">
        <is>
          <t>发球时机与自动击球闭环</t>
        </is>
      </c>
      <c r="C7" s="4" t="inlineStr">
        <is>
          <t>C</t>
        </is>
      </c>
      <c r="D7" s="4" t="n">
        <v>12</v>
      </c>
      <c r="E7" s="6" t="n"/>
      <c r="F7" s="4">
        <f>IF(ISNUMBER(E7),D7*E7/100,0)</f>
        <v/>
      </c>
      <c r="G7" s="4">
        <f>IF(ISNUMBER(E7),D7,0)</f>
        <v/>
      </c>
      <c r="H7" s="4">
        <f>IF(NOT(ISNUMBER(E7)),"N/A",IF(E7&gt;=100,"优",IF(E7&gt;=80,"良",IF(E7&gt;=60,"合格","不合格"))))</f>
        <v/>
      </c>
      <c r="I7" s="5" t="n"/>
    </row>
    <row r="8">
      <c r="A8" s="4" t="inlineStr">
        <is>
          <t>T05</t>
        </is>
      </c>
      <c r="B8" s="5" t="inlineStr">
        <is>
          <t>光照鲁棒性</t>
        </is>
      </c>
      <c r="C8" s="4" t="inlineStr">
        <is>
          <t>B</t>
        </is>
      </c>
      <c r="D8" s="4" t="n">
        <v>4</v>
      </c>
      <c r="E8" s="6" t="n"/>
      <c r="F8" s="4">
        <f>IF(ISNUMBER(E8),D8*E8/100,0)</f>
        <v/>
      </c>
      <c r="G8" s="4">
        <f>IF(ISNUMBER(E8),D8,0)</f>
        <v/>
      </c>
      <c r="H8" s="4">
        <f>IF(NOT(ISNUMBER(E8)),"N/A",IF(E8&gt;=100,"优",IF(E8&gt;=80,"良",IF(E8&gt;=60,"合格","不合格"))))</f>
        <v/>
      </c>
      <c r="I8" s="5" t="n"/>
    </row>
    <row r="9">
      <c r="A9" s="4" t="inlineStr">
        <is>
          <t>T06</t>
        </is>
      </c>
      <c r="B9" s="5" t="inlineStr">
        <is>
          <t>机械稳定性</t>
        </is>
      </c>
      <c r="C9" s="4" t="inlineStr">
        <is>
          <t>B</t>
        </is>
      </c>
      <c r="D9" s="4" t="n">
        <v>7</v>
      </c>
      <c r="E9" s="6" t="n"/>
      <c r="F9" s="4">
        <f>IF(ISNUMBER(E9),D9*E9/100,0)</f>
        <v/>
      </c>
      <c r="G9" s="4">
        <f>IF(ISNUMBER(E9),D9,0)</f>
        <v/>
      </c>
      <c r="H9" s="4">
        <f>IF(NOT(ISNUMBER(E9)),"N/A",IF(E9&gt;=100,"优",IF(E9&gt;=80,"良",IF(E9&gt;=60,"合格","不合格"))))</f>
        <v/>
      </c>
      <c r="I9" s="5" t="n"/>
    </row>
    <row r="10">
      <c r="A10" s="4" t="inlineStr">
        <is>
          <t>T07</t>
        </is>
      </c>
      <c r="B10" s="5" t="inlineStr">
        <is>
          <t>温度稳定性</t>
        </is>
      </c>
      <c r="C10" s="4" t="inlineStr">
        <is>
          <t>B</t>
        </is>
      </c>
      <c r="D10" s="4" t="n">
        <v>3</v>
      </c>
      <c r="E10" s="6" t="n"/>
      <c r="F10" s="4">
        <f>IF(ISNUMBER(E10),D10*E10/100,0)</f>
        <v/>
      </c>
      <c r="G10" s="4">
        <f>IF(ISNUMBER(E10),D10,0)</f>
        <v/>
      </c>
      <c r="H10" s="4">
        <f>IF(NOT(ISNUMBER(E10)),"N/A",IF(E10&gt;=100,"优",IF(E10&gt;=80,"良",IF(E10&gt;=60,"合格","不合格"))))</f>
        <v/>
      </c>
      <c r="I10" s="5" t="n"/>
    </row>
    <row r="11">
      <c r="A11" s="4" t="inlineStr">
        <is>
          <t>T08</t>
        </is>
      </c>
      <c r="B11" s="5" t="inlineStr">
        <is>
          <t>时间同步</t>
        </is>
      </c>
      <c r="C11" s="4" t="inlineStr">
        <is>
          <t>B</t>
        </is>
      </c>
      <c r="D11" s="4" t="n">
        <v>3</v>
      </c>
      <c r="E11" s="6" t="n"/>
      <c r="F11" s="4">
        <f>IF(ISNUMBER(E11),D11*E11/100,0)</f>
        <v/>
      </c>
      <c r="G11" s="4">
        <f>IF(ISNUMBER(E11),D11,0)</f>
        <v/>
      </c>
      <c r="H11" s="4">
        <f>IF(NOT(ISNUMBER(E11)),"N/A",IF(E11&gt;=100,"优",IF(E11&gt;=80,"良",IF(E11&gt;=60,"合格","不合格"))))</f>
        <v/>
      </c>
      <c r="I11" s="5" t="n"/>
    </row>
    <row r="12">
      <c r="A12" s="4" t="inlineStr">
        <is>
          <t>T09</t>
        </is>
      </c>
      <c r="B12" s="5" t="inlineStr">
        <is>
          <t>动态目标深度精度</t>
        </is>
      </c>
      <c r="C12" s="4" t="inlineStr">
        <is>
          <t>B</t>
        </is>
      </c>
      <c r="D12" s="4" t="n">
        <v>3</v>
      </c>
      <c r="E12" s="6" t="n"/>
      <c r="F12" s="4">
        <f>IF(ISNUMBER(E12),D12*E12/100,0)</f>
        <v/>
      </c>
      <c r="G12" s="4">
        <f>IF(ISNUMBER(E12),D12,0)</f>
        <v/>
      </c>
      <c r="H12" s="4">
        <f>IF(NOT(ISNUMBER(E12)),"N/A",IF(E12&gt;=100,"优",IF(E12&gt;=80,"良",IF(E12&gt;=60,"合格","不合格"))))</f>
        <v/>
      </c>
      <c r="I12" s="5" t="n"/>
    </row>
    <row r="13">
      <c r="A13" s="4" t="inlineStr">
        <is>
          <t>T10</t>
        </is>
      </c>
      <c r="B13" s="5" t="inlineStr">
        <is>
          <t>单目标定质量</t>
        </is>
      </c>
      <c r="C13" s="4" t="inlineStr">
        <is>
          <t>A</t>
        </is>
      </c>
      <c r="D13" s="4" t="n">
        <v>3</v>
      </c>
      <c r="E13" s="6" t="n"/>
      <c r="F13" s="4">
        <f>IF(ISNUMBER(E13),D13*E13/100,0)</f>
        <v/>
      </c>
      <c r="G13" s="4">
        <f>IF(ISNUMBER(E13),D13,0)</f>
        <v/>
      </c>
      <c r="H13" s="4">
        <f>IF(NOT(ISNUMBER(E13)),"N/A",IF(E13&gt;=100,"优",IF(E13&gt;=80,"良",IF(E13&gt;=60,"合格","不合格"))))</f>
        <v/>
      </c>
      <c r="I13" s="5" t="n"/>
    </row>
    <row r="14">
      <c r="A14" s="4" t="inlineStr">
        <is>
          <t>T11</t>
        </is>
      </c>
      <c r="B14" s="5" t="inlineStr">
        <is>
          <t>双目外参标定质量</t>
        </is>
      </c>
      <c r="C14" s="4" t="inlineStr">
        <is>
          <t>A</t>
        </is>
      </c>
      <c r="D14" s="4" t="n">
        <v>4</v>
      </c>
      <c r="E14" s="6" t="n"/>
      <c r="F14" s="4">
        <f>IF(ISNUMBER(E14),D14*E14/100,0)</f>
        <v/>
      </c>
      <c r="G14" s="4">
        <f>IF(ISNUMBER(E14),D14,0)</f>
        <v/>
      </c>
      <c r="H14" s="4">
        <f>IF(NOT(ISNUMBER(E14)),"N/A",IF(E14&gt;=100,"优",IF(E14&gt;=80,"良",IF(E14&gt;=60,"合格","不合格"))))</f>
        <v/>
      </c>
      <c r="I14" s="5" t="n"/>
    </row>
    <row r="15">
      <c r="A15" s="4" t="inlineStr">
        <is>
          <t>T12</t>
        </is>
      </c>
      <c r="B15" s="5" t="inlineStr">
        <is>
          <t>标定重复性</t>
        </is>
      </c>
      <c r="C15" s="4" t="inlineStr">
        <is>
          <t>A</t>
        </is>
      </c>
      <c r="D15" s="4" t="n">
        <v>4</v>
      </c>
      <c r="E15" s="6" t="n"/>
      <c r="F15" s="4">
        <f>IF(ISNUMBER(E15),D15*E15/100,0)</f>
        <v/>
      </c>
      <c r="G15" s="4">
        <f>IF(ISNUMBER(E15),D15,0)</f>
        <v/>
      </c>
      <c r="H15" s="4">
        <f>IF(NOT(ISNUMBER(E15)),"N/A",IF(E15&gt;=100,"优",IF(E15&gt;=80,"良",IF(E15&gt;=60,"合格","不合格"))))</f>
        <v/>
      </c>
      <c r="I15" s="5" t="n"/>
    </row>
    <row r="16">
      <c r="A16" s="4" t="inlineStr">
        <is>
          <t>T13</t>
        </is>
      </c>
      <c r="B16" s="5" t="inlineStr">
        <is>
          <t>标定板空间覆盖</t>
        </is>
      </c>
      <c r="C16" s="4" t="inlineStr">
        <is>
          <t>A</t>
        </is>
      </c>
      <c r="D16" s="4" t="n">
        <v>3</v>
      </c>
      <c r="E16" s="6" t="n"/>
      <c r="F16" s="4">
        <f>IF(ISNUMBER(E16),D16*E16/100,0)</f>
        <v/>
      </c>
      <c r="G16" s="4">
        <f>IF(ISNUMBER(E16),D16,0)</f>
        <v/>
      </c>
      <c r="H16" s="4">
        <f>IF(NOT(ISNUMBER(E16)),"N/A",IF(E16&gt;=100,"优",IF(E16&gt;=80,"良",IF(E16&gt;=60,"合格","不合格"))))</f>
        <v/>
      </c>
      <c r="I16" s="5" t="n"/>
    </row>
    <row r="17">
      <c r="A17" s="4" t="inlineStr">
        <is>
          <t>T14</t>
        </is>
      </c>
      <c r="B17" s="5" t="inlineStr">
        <is>
          <t>不同距离深度误差</t>
        </is>
      </c>
      <c r="C17" s="4" t="inlineStr">
        <is>
          <t>A</t>
        </is>
      </c>
      <c r="D17" s="4" t="n">
        <v>4</v>
      </c>
      <c r="E17" s="6" t="n"/>
      <c r="F17" s="4">
        <f>IF(ISNUMBER(E17),D17*E17/100,0)</f>
        <v/>
      </c>
      <c r="G17" s="4">
        <f>IF(ISNUMBER(E17),D17,0)</f>
        <v/>
      </c>
      <c r="H17" s="4">
        <f>IF(NOT(ISNUMBER(E17)),"N/A",IF(E17&gt;=100,"优",IF(E17&gt;=80,"良",IF(E17&gt;=60,"合格","不合格"))))</f>
        <v/>
      </c>
      <c r="I17" s="5" t="n"/>
    </row>
    <row r="18">
      <c r="A18" s="4" t="inlineStr">
        <is>
          <t>T15</t>
        </is>
      </c>
      <c r="B18" s="5" t="inlineStr">
        <is>
          <t>深度精度</t>
        </is>
      </c>
      <c r="C18" s="4" t="inlineStr">
        <is>
          <t>A</t>
        </is>
      </c>
      <c r="D18" s="4" t="n">
        <v>5</v>
      </c>
      <c r="E18" s="6" t="n"/>
      <c r="F18" s="4">
        <f>IF(ISNUMBER(E18),D18*E18/100,0)</f>
        <v/>
      </c>
      <c r="G18" s="4">
        <f>IF(ISNUMBER(E18),D18,0)</f>
        <v/>
      </c>
      <c r="H18" s="4">
        <f>IF(NOT(ISNUMBER(E18)),"N/A",IF(E18&gt;=100,"优",IF(E18&gt;=80,"良",IF(E18&gt;=60,"合格","不合格"))))</f>
        <v/>
      </c>
      <c r="I18" s="5" t="n"/>
    </row>
    <row r="19">
      <c r="A19" s="4" t="inlineStr">
        <is>
          <t>T16</t>
        </is>
      </c>
      <c r="B19" s="5" t="inlineStr">
        <is>
          <t>三轴定位精度</t>
        </is>
      </c>
      <c r="C19" s="4" t="inlineStr">
        <is>
          <t>A</t>
        </is>
      </c>
      <c r="D19" s="4" t="n">
        <v>3</v>
      </c>
      <c r="E19" s="6" t="n"/>
      <c r="F19" s="4">
        <f>IF(ISNUMBER(E19),D19*E19/100,0)</f>
        <v/>
      </c>
      <c r="G19" s="4">
        <f>IF(ISNUMBER(E19),D19,0)</f>
        <v/>
      </c>
      <c r="H19" s="4">
        <f>IF(NOT(ISNUMBER(E19)),"N/A",IF(E19&gt;=100,"优",IF(E19&gt;=80,"良",IF(E19&gt;=60,"合格","不合格"))))</f>
        <v/>
      </c>
      <c r="I19" s="5" t="n"/>
    </row>
    <row r="20">
      <c r="A20" s="4" t="inlineStr">
        <is>
          <t>T17</t>
        </is>
      </c>
      <c r="B20" s="5" t="inlineStr">
        <is>
          <t>极线校正质量</t>
        </is>
      </c>
      <c r="C20" s="4" t="inlineStr">
        <is>
          <t>A</t>
        </is>
      </c>
      <c r="D20" s="4" t="n">
        <v>5</v>
      </c>
      <c r="E20" s="6" t="n"/>
      <c r="F20" s="4">
        <f>IF(ISNUMBER(E20),D20*E20/100,0)</f>
        <v/>
      </c>
      <c r="G20" s="4">
        <f>IF(ISNUMBER(E20),D20,0)</f>
        <v/>
      </c>
      <c r="H20" s="4">
        <f>IF(NOT(ISNUMBER(E20)),"N/A",IF(E20&gt;=100,"优",IF(E20&gt;=80,"良",IF(E20&gt;=60,"合格","不合格"))))</f>
        <v/>
      </c>
      <c r="I20" s="5" t="n"/>
    </row>
    <row r="21">
      <c r="A21" s="4" t="inlineStr">
        <is>
          <t>T18</t>
        </is>
      </c>
      <c r="B21" s="5" t="inlineStr">
        <is>
          <t>视差精度</t>
        </is>
      </c>
      <c r="C21" s="4" t="inlineStr">
        <is>
          <t>A</t>
        </is>
      </c>
      <c r="D21" s="4" t="n">
        <v>2</v>
      </c>
      <c r="E21" s="6" t="n"/>
      <c r="F21" s="4">
        <f>IF(ISNUMBER(E21),D21*E21/100,0)</f>
        <v/>
      </c>
      <c r="G21" s="4">
        <f>IF(ISNUMBER(E21),D21,0)</f>
        <v/>
      </c>
      <c r="H21" s="4">
        <f>IF(NOT(ISNUMBER(E21)),"N/A",IF(E21&gt;=100,"优",IF(E21&gt;=80,"良",IF(E21&gt;=60,"合格","不合格"))))</f>
        <v/>
      </c>
      <c r="I21" s="5" t="n"/>
    </row>
    <row r="22">
      <c r="A22" s="4" t="inlineStr">
        <is>
          <t>T19</t>
        </is>
      </c>
      <c r="B22" s="5" t="inlineStr">
        <is>
          <t>目标姿态适应性</t>
        </is>
      </c>
      <c r="C22" s="4" t="inlineStr">
        <is>
          <t>A</t>
        </is>
      </c>
      <c r="D22" s="4" t="n">
        <v>2</v>
      </c>
      <c r="E22" s="6" t="n"/>
      <c r="F22" s="4">
        <f>IF(ISNUMBER(E22),D22*E22/100,0)</f>
        <v/>
      </c>
      <c r="G22" s="4">
        <f>IF(ISNUMBER(E22),D22,0)</f>
        <v/>
      </c>
      <c r="H22" s="4">
        <f>IF(NOT(ISNUMBER(E22)),"N/A",IF(E22&gt;=100,"优",IF(E22&gt;=80,"良",IF(E22&gt;=60,"合格","不合格"))))</f>
        <v/>
      </c>
      <c r="I22" s="5" t="n"/>
    </row>
    <row r="23">
      <c r="A23" s="7" t="inlineStr">
        <is>
          <t>—</t>
        </is>
      </c>
      <c r="B23" s="8" t="inlineStr">
        <is>
          <t>合计（C 45 / B 20 / A 35）</t>
        </is>
      </c>
      <c r="C23" s="9" t="n"/>
      <c r="D23" s="7">
        <f>SUM(D4:D22)</f>
        <v/>
      </c>
      <c r="E23" s="9" t="n"/>
      <c r="F23" s="7">
        <f>SUM(F4:F22)</f>
        <v/>
      </c>
      <c r="G23" s="7">
        <f>SUM(G4:G22)</f>
        <v/>
      </c>
      <c r="H23" s="9" t="n"/>
      <c r="I23" s="9" t="n"/>
    </row>
    <row r="25">
      <c r="A25" s="10" t="inlineStr">
        <is>
          <t>总分 S</t>
        </is>
      </c>
      <c r="B25" s="11">
        <f>IF(SUM(G4:G22)=0,"",ROUND(SUM(F4:F22)/SUM(G4:G22)*100,1))</f>
        <v/>
      </c>
    </row>
    <row r="26">
      <c r="A26" s="10" t="inlineStr">
        <is>
          <t>否决项触发（联动否决项检查表）</t>
        </is>
      </c>
      <c r="B26" s="11">
        <f>IF(COUNTIF('否决项检查'!C3:C6,"是")&gt;0,"是","否")</f>
        <v/>
      </c>
    </row>
    <row r="27">
      <c r="A27" s="10" t="inlineStr">
        <is>
          <t>等级（A/B/C/F）</t>
        </is>
      </c>
      <c r="B27" s="12">
        <f>IF(B26="是","F",IF(NOT(ISNUMBER(B25)),"",IF(AND(B25&gt;=90,COUNT(E13:E22)=10,COUNT(E4:E7)=4),"A",IF(B25&gt;=80,"B",IF(AND(B25&gt;=70,COUNTIF(E13:E22,0)=0,COUNTIF(E4:E7,0)=0),"C","F")))))</f>
        <v/>
      </c>
    </row>
  </sheetData>
  <mergeCells count="2">
    <mergeCell ref="A1:I1"/>
    <mergeCell ref="A2:I2"/>
  </mergeCells>
  <dataValidations count="1">
    <dataValidation sqref="E4:E22" showDropDown="0" showInputMessage="0" showErrorMessage="0" allowBlank="1" promptTitle="单项得分" prompt="填写 100 / 80 / 60 / 0；B 类可填 N/A" type="list">
      <formula1>"100,80,60,0,N/A"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0" customWidth="1" min="3" max="3"/>
    <col width="36" customWidth="1" min="4" max="4"/>
  </cols>
  <sheetData>
    <row r="1">
      <c r="A1" s="1" t="inlineStr">
        <is>
          <t>否决项检查表</t>
        </is>
      </c>
    </row>
    <row r="2">
      <c r="A2" s="3" t="inlineStr">
        <is>
          <t>编号</t>
        </is>
      </c>
      <c r="B2" s="3" t="inlineStr">
        <is>
          <t>否决条件</t>
        </is>
      </c>
      <c r="C2" s="3" t="inlineStr">
        <is>
          <t>是否触发</t>
        </is>
      </c>
      <c r="D2" s="3" t="inlineStr">
        <is>
          <t>证据（数据 / 日志路径）</t>
        </is>
      </c>
    </row>
    <row r="3">
      <c r="A3" s="4" t="inlineStr">
        <is>
          <t>V1</t>
        </is>
      </c>
      <c r="B3" s="5" t="inlineStr">
        <is>
          <t>T10 单目重投影 RMS 或 T11 双目重投影 RMS 落在"不合格"档</t>
        </is>
      </c>
      <c r="C3" s="4" t="n"/>
      <c r="D3" s="5" t="n"/>
    </row>
    <row r="4">
      <c r="A4" s="4" t="inlineStr">
        <is>
          <t>V2</t>
        </is>
      </c>
      <c r="B4" s="5" t="inlineStr">
        <is>
          <t>T17 极线误差 RMS 超过合格档（&gt; 0.50 px）</t>
        </is>
      </c>
      <c r="C4" s="4" t="n"/>
      <c r="D4" s="5" t="n"/>
    </row>
    <row r="5">
      <c r="A5" s="4" t="inlineStr">
        <is>
          <t>V3</t>
        </is>
      </c>
      <c r="B5" s="5" t="inlineStr">
        <is>
          <t>T06 机械稳定性触发"标定失效"判据（ΔB/B 或 ΔR 任一超合格档）</t>
        </is>
      </c>
      <c r="C5" s="4" t="n"/>
      <c r="D5" s="5" t="n"/>
    </row>
    <row r="6">
      <c r="A6" s="4" t="inlineStr">
        <is>
          <t>V4</t>
        </is>
      </c>
      <c r="B6" s="5" t="inlineStr">
        <is>
          <t>测试过程中出现程序崩溃、无深度输出等致命功能故障</t>
        </is>
      </c>
      <c r="C6" s="4" t="n"/>
      <c r="D6" s="5" t="n"/>
    </row>
  </sheetData>
  <mergeCells count="1">
    <mergeCell ref="A1:D1"/>
  </mergeCells>
  <dataValidations count="1">
    <dataValidation sqref="C3:C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测试结论</t>
        </is>
      </c>
    </row>
    <row r="2">
      <c r="A2" s="8" t="inlineStr">
        <is>
          <t>设备编号</t>
        </is>
      </c>
      <c r="B2" s="5" t="n"/>
    </row>
    <row r="3">
      <c r="A3" s="8" t="inlineStr">
        <is>
          <t>标定参数版本</t>
        </is>
      </c>
      <c r="B3" s="5" t="n"/>
    </row>
    <row r="4">
      <c r="A4" s="8" t="inlineStr">
        <is>
          <t>测试日期 / 地点</t>
        </is>
      </c>
      <c r="B4" s="5" t="n"/>
    </row>
    <row r="5">
      <c r="A5" s="8" t="inlineStr">
        <is>
          <t>测试人员 / 审核</t>
        </is>
      </c>
      <c r="B5" s="5" t="n"/>
    </row>
    <row r="6">
      <c r="A6" s="8" t="inlineStr">
        <is>
          <t>总分 S</t>
        </is>
      </c>
      <c r="B6" s="5">
        <f>'打分汇总'!B25</f>
        <v/>
      </c>
    </row>
    <row r="7">
      <c r="A7" s="8" t="inlineStr">
        <is>
          <t>等级（A / B / C / F）</t>
        </is>
      </c>
      <c r="B7" s="5">
        <f>'打分汇总'!B27</f>
        <v/>
      </c>
    </row>
    <row r="8">
      <c r="A8" s="8" t="inlineStr">
        <is>
          <t>结论</t>
        </is>
      </c>
      <c r="B8" s="5" t="n"/>
    </row>
    <row r="9">
      <c r="A9" s="8" t="inlineStr">
        <is>
          <t>主要问题与建议</t>
        </is>
      </c>
      <c r="B9" s="5" t="n"/>
    </row>
    <row r="10">
      <c r="A10" s="8" t="inlineStr">
        <is>
          <t>签字 / 日期</t>
        </is>
      </c>
      <c r="B10" s="5" t="n"/>
    </row>
    <row r="11">
      <c r="A11" s="6" t="n"/>
      <c r="B11" s="6" t="n"/>
    </row>
    <row r="12">
      <c r="A12" s="6" t="n"/>
      <c r="B12" s="6" t="n"/>
    </row>
  </sheetData>
  <mergeCells count="2">
    <mergeCell ref="A1:B1"/>
    <mergeCell ref="B9:B12"/>
  </mergeCells>
  <dataValidations count="1">
    <dataValidation sqref="B8" showDropDown="0" showInputMessage="0" showErrorMessage="0" allowBlank="1" type="list">
      <formula1>"通过,有条件通过,不通过"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2026-09-27T16:29:37Z</dcterms:created>
  <dcterms:modified xmlns:dcterms="http://purl.org/dc/terms/" xmlns:xsi="http://www.w3.org/2001/XMLSchema-instance" xsi:type="dcterms:W3CDTF">2026-09-27T16:29:37Z</dcterms:modified>
</cp:coreProperties>
</file>